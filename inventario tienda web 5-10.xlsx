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erna\Desktop\papeleria_web\"/>
    </mc:Choice>
  </mc:AlternateContent>
  <xr:revisionPtr revIDLastSave="0" documentId="13_ncr:1_{D6E75F8D-EDC3-43BD-8B06-4D0AD80EB7E2}" xr6:coauthVersionLast="47" xr6:coauthVersionMax="47" xr10:uidLastSave="{00000000-0000-0000-0000-000000000000}"/>
  <bookViews>
    <workbookView xWindow="0" yWindow="870" windowWidth="21600" windowHeight="90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H3" i="1"/>
  <c r="H4" i="1"/>
  <c r="H5" i="1"/>
  <c r="H6" i="1"/>
  <c r="H7" i="1"/>
  <c r="H8" i="1"/>
  <c r="H9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2" i="1"/>
  <c r="F3" i="1"/>
  <c r="F4" i="1"/>
  <c r="F5" i="1"/>
  <c r="F6" i="1"/>
  <c r="F7" i="1"/>
  <c r="F8" i="1"/>
  <c r="F9" i="1"/>
  <c r="F12" i="1"/>
  <c r="F13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2" i="1"/>
</calcChain>
</file>

<file path=xl/sharedStrings.xml><?xml version="1.0" encoding="utf-8"?>
<sst xmlns="http://schemas.openxmlformats.org/spreadsheetml/2006/main" count="84" uniqueCount="84">
  <si>
    <t>codigo</t>
  </si>
  <si>
    <t>descripcion</t>
  </si>
  <si>
    <t>inventario</t>
  </si>
  <si>
    <t>Ray-Cf-E91</t>
  </si>
  <si>
    <t>Cuaderno Frances De Dibujo Con 100 Hojas Rayter</t>
  </si>
  <si>
    <t>Cpd-Flo7M</t>
  </si>
  <si>
    <t>Cuaderno Book Frances Floral De Cuadro 7Mm Con 100 Hojas Printaform</t>
  </si>
  <si>
    <t>C-Pro-Arc</t>
  </si>
  <si>
    <t>Cuaderno Prof. Espiral Doble 100 Hjs. P.D. Arcoiris Mc. Printaform Rayas</t>
  </si>
  <si>
    <t>1002270</t>
  </si>
  <si>
    <t>Cuaderno Prof. Inblack 100 Hjs. Espiral Doble Mod. 2270 Mc. Scribe Rayas</t>
  </si>
  <si>
    <t>Ray-Cci-14</t>
  </si>
  <si>
    <t>Cuaderno Italiano Cosido 100 Hjs. Mc. Rayter Cuadro 14 Mm</t>
  </si>
  <si>
    <t>Map-L-Pep</t>
  </si>
  <si>
    <t>Lapiz De Grafito Triangular Black Peps Maped</t>
  </si>
  <si>
    <t>Dix-Led</t>
  </si>
  <si>
    <t>Lapiz Duo Grafito Y Color Rojo Triangular Mc. Dixon 42304</t>
  </si>
  <si>
    <t>Pel-M-20C</t>
  </si>
  <si>
    <t>Borrador De Migajon M-20 Mc. Pelikan</t>
  </si>
  <si>
    <t>196310</t>
  </si>
  <si>
    <t>Compas Stop System Innovation Maped</t>
  </si>
  <si>
    <t>899211</t>
  </si>
  <si>
    <t>Juego De Geometria Basico Mod. 899211 Mc. Maped</t>
  </si>
  <si>
    <t>2013-28Cg</t>
  </si>
  <si>
    <t>Juego De Escuadras Semiprof. Transp. 2013-28 Cm Sin Bisel C/Grad. Mc. Maped</t>
  </si>
  <si>
    <t>Cra-Lc-12</t>
  </si>
  <si>
    <t>Caja Con 12 Colores Borrables Largos Mod. 68-4412 Mc. Crayola</t>
  </si>
  <si>
    <t>588630</t>
  </si>
  <si>
    <t>Plumones Lavables Punta De Bala Estuche C/12 Piezas 886308 Mc. Norma</t>
  </si>
  <si>
    <t>589021</t>
  </si>
  <si>
    <t>Estuche De Plumones Super Tips C/20 Piezas 58-9021 Mc. Crayola Color Pastel 2025</t>
  </si>
  <si>
    <t>Fa-G3</t>
  </si>
  <si>
    <t>Bolsa De Globos Payaso N° 3 Con 100 Piezas Colores Surtidos</t>
  </si>
  <si>
    <t>M-250 1204</t>
  </si>
  <si>
    <t>Boligrafo Punto Mediano M-250 Dura+ Mc. Bic Color Negro</t>
  </si>
  <si>
    <t>M-250 1202</t>
  </si>
  <si>
    <t>Boligrafo Punto Mediano M-250 Dura+ Mc. Bic Color Azul</t>
  </si>
  <si>
    <t>Bar-D10</t>
  </si>
  <si>
    <t>Tijera Escolar Acero Inox. En Blister Mod. D10/D15 Mc. Delta</t>
  </si>
  <si>
    <t>Ba-P803</t>
  </si>
  <si>
    <t>Perforadora Metalica De Un Orificio 1/4" 6Mm Mod. 803 Mc. Barrilito</t>
  </si>
  <si>
    <t>850-Ep</t>
  </si>
  <si>
    <t>Perforadora 2 Orificios 8 Cm 16 Hojas Mod. 850-Ei Mc. Barrilito</t>
  </si>
  <si>
    <t>Map-062502</t>
  </si>
  <si>
    <t>Sacapuntas Blister C/2 Pzs. 2 Entradas Vivo Mod. 062502 Mc. Maped</t>
  </si>
  <si>
    <t>Ray-Cp-Co93</t>
  </si>
  <si>
    <t>Cuaderno Profesional Cosido 100Hjs  Mc. Rayter Cuadros 7 Mm</t>
  </si>
  <si>
    <t>Ray-Cp-Co90</t>
  </si>
  <si>
    <t>Cuaderno Profesional Cosido 100Hjs  Mc. Rayter Rayas</t>
  </si>
  <si>
    <t>Inm-Ct-2M</t>
  </si>
  <si>
    <t>Rollo De Plastico Contac Transp. 35 Cms. X 2 Metros Mc. Transfer</t>
  </si>
  <si>
    <t>Inm-Ct-10M</t>
  </si>
  <si>
    <t>Rollo De Plastico Contac Transp. 35 Cms. X 10 Metros Mc. Transfer</t>
  </si>
  <si>
    <t>Ps-Ma011</t>
  </si>
  <si>
    <t>Pistola Chica Para Aplicar Silicon Mod. Ps-Ma011 Mc. Matiz</t>
  </si>
  <si>
    <t>Alfa-60G</t>
  </si>
  <si>
    <t>Pegamento Blanco Escolar De 60Grs Mc. Alfa</t>
  </si>
  <si>
    <t>Alfa-500G</t>
  </si>
  <si>
    <t>Pegamento Blanco Escolar De 500 Grs Mc. Alfa</t>
  </si>
  <si>
    <t>She-Sl-100</t>
  </si>
  <si>
    <t>Silicon Liquido De 100 Ml. Mc. Shely +</t>
  </si>
  <si>
    <t>Pcrepe-Ka</t>
  </si>
  <si>
    <t>Papel Crepe 50 Cms. X 2.00 Mts. Mc. Pascua Color Naranja</t>
  </si>
  <si>
    <t>Pcrepe-Kb</t>
  </si>
  <si>
    <t>Papel Crepe 50 Cms. X 2.00 Mts. Mc. Pascua Color Cempazuchil</t>
  </si>
  <si>
    <t>China-Mc09</t>
  </si>
  <si>
    <t>Papel China 50 X 75 Cms. Mc. 8-A Color Morado</t>
  </si>
  <si>
    <t>China-Mc01</t>
  </si>
  <si>
    <t>Papel China 50 X 75 Cms. Mc. 8-A Color Negro</t>
  </si>
  <si>
    <t>Flprrys</t>
  </si>
  <si>
    <t>Cuaderno Prof. Espiral Doble 100 Hjs. Floral P.Semi Rigida Mc. Printaform Rayas</t>
  </si>
  <si>
    <t>Bic-La-36G</t>
  </si>
  <si>
    <t>Lápiz Adhesivo Blanco De 36 Grs. Mc. Dixon</t>
  </si>
  <si>
    <t>Folejcar</t>
  </si>
  <si>
    <t>Folder Ejecutivo Tamaño Carta Mc. Printaform</t>
  </si>
  <si>
    <t>F-07</t>
  </si>
  <si>
    <t>Block Ledger De Forma A-4 T/Oficio F-07 Mc. Formitec</t>
  </si>
  <si>
    <t>404000</t>
  </si>
  <si>
    <t>Mini Engrapadora Vivo Color Pastel En Blister Mod. 404000 Mc. Maped 2026</t>
  </si>
  <si>
    <t>Pa-Soh-Vels</t>
  </si>
  <si>
    <t>Sobre De Plastico Horizontal Soh-Vels Mc. Pascua</t>
  </si>
  <si>
    <t>precio_venta</t>
  </si>
  <si>
    <t>precio_provedor_5/10</t>
  </si>
  <si>
    <t>inv_merced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</si>
</sst>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80A]* #,##0.00_-;\-[$$-80A]* #,##0.00_-;_-[$$-80A]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recios%20provedor/productos_para_tienda.csv" TargetMode="External"/><Relationship Id="rId2" Type="http://schemas.openxmlformats.org/officeDocument/2006/relationships/externalLinkPath" Target="file:///C:\Users\herna\Desktop\precios%20provedor\productos_para_tienda.csv" TargetMode="External"/><Relationship Id="rId1" Type="http://schemas.openxmlformats.org/officeDocument/2006/relationships/externalLinkPath" Target="/Users/herna/Desktop/precios%20provedor/productos_para_tiend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ductos_para_tienda"/>
    </sheetNames>
    <sheetDataSet>
      <sheetData sheetId="0">
        <row r="1">
          <cell r="B1" t="str">
            <v>Código</v>
          </cell>
          <cell r="J1" t="str">
            <v>Precio Menudeo</v>
          </cell>
          <cell r="V1" t="str">
            <v>Stock_Merced</v>
          </cell>
        </row>
        <row r="2">
          <cell r="B2">
            <v>1002270</v>
          </cell>
          <cell r="J2">
            <v>73.95</v>
          </cell>
          <cell r="V2">
            <v>34</v>
          </cell>
        </row>
        <row r="3">
          <cell r="B3">
            <v>196310</v>
          </cell>
          <cell r="J3">
            <v>78.59</v>
          </cell>
          <cell r="V3">
            <v>10</v>
          </cell>
        </row>
        <row r="4">
          <cell r="B4">
            <v>899211</v>
          </cell>
          <cell r="J4">
            <v>27.55</v>
          </cell>
          <cell r="V4">
            <v>151</v>
          </cell>
        </row>
        <row r="5">
          <cell r="B5">
            <v>588630</v>
          </cell>
          <cell r="J5">
            <v>46.69</v>
          </cell>
          <cell r="V5">
            <v>14</v>
          </cell>
        </row>
        <row r="6">
          <cell r="B6">
            <v>589021</v>
          </cell>
          <cell r="J6">
            <v>169.36</v>
          </cell>
          <cell r="V6">
            <v>20</v>
          </cell>
        </row>
        <row r="7">
          <cell r="B7" t="str">
            <v>M-250 1204</v>
          </cell>
          <cell r="J7">
            <v>5</v>
          </cell>
          <cell r="V7">
            <v>1257</v>
          </cell>
        </row>
        <row r="8">
          <cell r="B8">
            <v>404000</v>
          </cell>
          <cell r="J8">
            <v>52.49</v>
          </cell>
          <cell r="V8">
            <v>24</v>
          </cell>
        </row>
        <row r="9">
          <cell r="B9" t="str">
            <v>RAY-CF-E91</v>
          </cell>
          <cell r="J9">
            <v>21.17</v>
          </cell>
          <cell r="V9">
            <v>3</v>
          </cell>
        </row>
        <row r="10">
          <cell r="B10" t="str">
            <v>CPD-FLO7M</v>
          </cell>
          <cell r="J10">
            <v>55</v>
          </cell>
          <cell r="V10">
            <v>35</v>
          </cell>
        </row>
        <row r="11">
          <cell r="B11" t="str">
            <v>C-PRO-ARC</v>
          </cell>
          <cell r="J11">
            <v>72</v>
          </cell>
          <cell r="V11">
            <v>83</v>
          </cell>
        </row>
        <row r="12">
          <cell r="B12" t="str">
            <v>RAY-CCI-14</v>
          </cell>
          <cell r="J12">
            <v>29.29</v>
          </cell>
          <cell r="V12">
            <v>214</v>
          </cell>
        </row>
        <row r="13">
          <cell r="B13" t="str">
            <v>MAP-L-PEP</v>
          </cell>
          <cell r="J13">
            <v>4.5</v>
          </cell>
          <cell r="V13">
            <v>7468</v>
          </cell>
        </row>
        <row r="14">
          <cell r="B14" t="str">
            <v>DIX-LED</v>
          </cell>
          <cell r="J14">
            <v>8.1199999999999992</v>
          </cell>
          <cell r="V14">
            <v>173</v>
          </cell>
        </row>
        <row r="15">
          <cell r="B15" t="str">
            <v>PEL-M-20C</v>
          </cell>
          <cell r="J15">
            <v>7</v>
          </cell>
          <cell r="V15">
            <v>1383</v>
          </cell>
        </row>
        <row r="16">
          <cell r="B16" t="str">
            <v>2013-28CG</v>
          </cell>
          <cell r="J16">
            <v>79.459999999999994</v>
          </cell>
          <cell r="V16">
            <v>3</v>
          </cell>
        </row>
        <row r="17">
          <cell r="B17" t="str">
            <v>CRA-LC-12</v>
          </cell>
          <cell r="J17">
            <v>126.15</v>
          </cell>
          <cell r="V17">
            <v>9</v>
          </cell>
        </row>
        <row r="18">
          <cell r="B18" t="str">
            <v>FA-G3</v>
          </cell>
          <cell r="J18">
            <v>21.46</v>
          </cell>
          <cell r="V18">
            <v>53</v>
          </cell>
        </row>
        <row r="19">
          <cell r="B19" t="str">
            <v>BAR-D10</v>
          </cell>
          <cell r="J19">
            <v>14.21</v>
          </cell>
          <cell r="V19">
            <v>358</v>
          </cell>
        </row>
        <row r="20">
          <cell r="B20" t="str">
            <v>BA-P803</v>
          </cell>
          <cell r="J20">
            <v>41.47</v>
          </cell>
          <cell r="V20">
            <v>13</v>
          </cell>
        </row>
        <row r="21">
          <cell r="B21" t="str">
            <v>850-EP</v>
          </cell>
          <cell r="J21">
            <v>136.30000000000001</v>
          </cell>
          <cell r="V21">
            <v>0</v>
          </cell>
        </row>
        <row r="22">
          <cell r="B22" t="str">
            <v>MAP-062502</v>
          </cell>
          <cell r="J22">
            <v>15.37</v>
          </cell>
          <cell r="V22">
            <v>36</v>
          </cell>
        </row>
        <row r="23">
          <cell r="B23" t="str">
            <v>RAY-CP-CO93</v>
          </cell>
          <cell r="J23">
            <v>49.9</v>
          </cell>
          <cell r="V23">
            <v>88</v>
          </cell>
        </row>
        <row r="24">
          <cell r="B24" t="str">
            <v>RAY-CP-CO90</v>
          </cell>
          <cell r="J24">
            <v>49.9</v>
          </cell>
          <cell r="V24">
            <v>98</v>
          </cell>
        </row>
        <row r="25">
          <cell r="B25" t="str">
            <v>INM-CT-2M</v>
          </cell>
          <cell r="J25">
            <v>19.43</v>
          </cell>
          <cell r="V25">
            <v>115</v>
          </cell>
        </row>
        <row r="26">
          <cell r="B26" t="str">
            <v>INM-CT-10M</v>
          </cell>
          <cell r="J26">
            <v>83.52</v>
          </cell>
          <cell r="V26">
            <v>39</v>
          </cell>
        </row>
        <row r="27">
          <cell r="B27" t="str">
            <v>PS-MA011</v>
          </cell>
          <cell r="J27">
            <v>60.03</v>
          </cell>
          <cell r="V27">
            <v>74</v>
          </cell>
        </row>
        <row r="28">
          <cell r="B28" t="str">
            <v>ALFA-60G</v>
          </cell>
          <cell r="J28">
            <v>10.5</v>
          </cell>
          <cell r="V28">
            <v>321</v>
          </cell>
        </row>
        <row r="29">
          <cell r="B29" t="str">
            <v>ALFA-500G</v>
          </cell>
          <cell r="J29">
            <v>42.92</v>
          </cell>
          <cell r="V29">
            <v>48</v>
          </cell>
        </row>
        <row r="30">
          <cell r="B30" t="str">
            <v>SHE-SL-100</v>
          </cell>
          <cell r="J30">
            <v>33.06</v>
          </cell>
          <cell r="V30">
            <v>0</v>
          </cell>
        </row>
        <row r="31">
          <cell r="B31" t="str">
            <v>PCREPE-KA</v>
          </cell>
          <cell r="J31">
            <v>5.51</v>
          </cell>
          <cell r="V31">
            <v>2514</v>
          </cell>
        </row>
        <row r="32">
          <cell r="B32" t="str">
            <v>PCREPE-KB</v>
          </cell>
          <cell r="J32">
            <v>5.51</v>
          </cell>
          <cell r="V32">
            <v>1483</v>
          </cell>
        </row>
        <row r="33">
          <cell r="B33" t="str">
            <v>CHINA-MC09</v>
          </cell>
          <cell r="J33">
            <v>1.5</v>
          </cell>
          <cell r="V33">
            <v>0</v>
          </cell>
        </row>
        <row r="34">
          <cell r="B34" t="str">
            <v>CHINA-MC01</v>
          </cell>
          <cell r="J34">
            <v>1.5</v>
          </cell>
          <cell r="V34">
            <v>0</v>
          </cell>
        </row>
        <row r="35">
          <cell r="B35" t="str">
            <v>FLPRRYS</v>
          </cell>
          <cell r="J35">
            <v>60</v>
          </cell>
          <cell r="V35">
            <v>65</v>
          </cell>
        </row>
        <row r="36">
          <cell r="B36" t="str">
            <v>BIC-LA-36G</v>
          </cell>
          <cell r="J36">
            <v>34.51</v>
          </cell>
          <cell r="V36">
            <v>12</v>
          </cell>
        </row>
        <row r="37">
          <cell r="B37" t="str">
            <v>FOLEJCAR</v>
          </cell>
          <cell r="J37">
            <v>56.55</v>
          </cell>
          <cell r="V37">
            <v>7</v>
          </cell>
        </row>
        <row r="38">
          <cell r="B38" t="str">
            <v>F-07</v>
          </cell>
          <cell r="J38">
            <v>56.55</v>
          </cell>
          <cell r="V38">
            <v>10</v>
          </cell>
        </row>
        <row r="39">
          <cell r="B39" t="str">
            <v>PA-SOH-VELS</v>
          </cell>
          <cell r="J39">
            <v>15.08</v>
          </cell>
          <cell r="V39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pane ySplit="1" topLeftCell="A8" activePane="bottomLeft" state="frozen"/>
      <selection pane="bottomLeft" activeCell="H11" sqref="H11"/>
    </sheetView>
  </sheetViews>
  <sheetFormatPr baseColWidth="10" defaultColWidth="9.140625" defaultRowHeight="15" x14ac:dyDescent="0.25"/>
  <cols>
    <col min="1" max="1" width="12.140625" bestFit="1" customWidth="1"/>
    <col min="2" max="2" width="74.85546875" bestFit="1" customWidth="1"/>
    <col min="3" max="3" width="10.140625" bestFit="1" customWidth="1"/>
    <col min="4" max="4" width="12" style="1" bestFit="1" customWidth="1"/>
    <col min="6" max="6" width="20.7109375" style="1" bestFit="1" customWidth="1"/>
    <col min="8" max="8" width="12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81</v>
      </c>
      <c r="F1" s="1" t="s">
        <v>82</v>
      </c>
      <c r="H1" s="1" t="s">
        <v>83</v>
      </c>
    </row>
    <row r="2" spans="1:8" x14ac:dyDescent="0.25">
      <c r="A2" t="s">
        <v>3</v>
      </c>
      <c r="B2" t="s">
        <v>4</v>
      </c>
      <c r="C2">
        <v>3</v>
      </c>
      <c r="D2" s="1">
        <v>28.22666666666667</v>
      </c>
      <c r="F2" s="1">
        <f>_xlfn.XLOOKUP(A2,[1]productos_para_tienda!$B:$B,[1]productos_para_tienda!$J:$J,"",0)</f>
        <v>21.17</v>
      </c>
      <c r="H2">
        <f>_xlfn.XLOOKUP(A2,[1]productos_para_tienda!$B:$B,[1]productos_para_tienda!$V:$V,"",0)</f>
        <v>3</v>
      </c>
    </row>
    <row r="3" spans="1:8" x14ac:dyDescent="0.25">
      <c r="A3" t="s">
        <v>5</v>
      </c>
      <c r="B3" t="s">
        <v>6</v>
      </c>
      <c r="C3">
        <v>9</v>
      </c>
      <c r="D3" s="1">
        <v>68.75</v>
      </c>
      <c r="F3" s="1">
        <f>_xlfn.XLOOKUP(A3,[1]productos_para_tienda!$B:$B,[1]productos_para_tienda!$J:$J,"",0)</f>
        <v>55</v>
      </c>
      <c r="H3">
        <f>_xlfn.XLOOKUP(A3,[1]productos_para_tienda!$B:$B,[1]productos_para_tienda!$V:$V,"",0)</f>
        <v>35</v>
      </c>
    </row>
    <row r="4" spans="1:8" x14ac:dyDescent="0.25">
      <c r="A4" t="s">
        <v>7</v>
      </c>
      <c r="B4" t="s">
        <v>8</v>
      </c>
      <c r="C4">
        <v>9</v>
      </c>
      <c r="D4" s="1">
        <v>84.705882352941174</v>
      </c>
      <c r="F4" s="1">
        <f>_xlfn.XLOOKUP(A4,[1]productos_para_tienda!$B:$B,[1]productos_para_tienda!$J:$J,"",0)</f>
        <v>72</v>
      </c>
      <c r="H4">
        <f>_xlfn.XLOOKUP(A4,[1]productos_para_tienda!$B:$B,[1]productos_para_tienda!$V:$V,"",0)</f>
        <v>83</v>
      </c>
    </row>
    <row r="5" spans="1:8" x14ac:dyDescent="0.25">
      <c r="A5" t="s">
        <v>9</v>
      </c>
      <c r="B5" t="s">
        <v>10</v>
      </c>
      <c r="C5">
        <v>10</v>
      </c>
      <c r="D5" s="1">
        <v>87</v>
      </c>
      <c r="F5" s="1" t="str">
        <f>_xlfn.XLOOKUP(A5,[1]productos_para_tienda!$B:$B,[1]productos_para_tienda!$J:$J,"",0)</f>
        <v/>
      </c>
      <c r="H5" t="str">
        <f>_xlfn.XLOOKUP(A5,[1]productos_para_tienda!$B:$B,[1]productos_para_tienda!$V:$V,"",0)</f>
        <v/>
      </c>
    </row>
    <row r="6" spans="1:8" x14ac:dyDescent="0.25">
      <c r="A6" t="s">
        <v>11</v>
      </c>
      <c r="B6" t="s">
        <v>12</v>
      </c>
      <c r="C6">
        <v>10</v>
      </c>
      <c r="D6" s="1">
        <v>39.053333333333327</v>
      </c>
      <c r="F6" s="1">
        <f>_xlfn.XLOOKUP(A6,[1]productos_para_tienda!$B:$B,[1]productos_para_tienda!$J:$J,"",0)</f>
        <v>29.29</v>
      </c>
      <c r="H6">
        <f>_xlfn.XLOOKUP(A6,[1]productos_para_tienda!$B:$B,[1]productos_para_tienda!$V:$V,"",0)</f>
        <v>214</v>
      </c>
    </row>
    <row r="7" spans="1:8" x14ac:dyDescent="0.25">
      <c r="A7" t="s">
        <v>13</v>
      </c>
      <c r="B7" t="s">
        <v>14</v>
      </c>
      <c r="C7">
        <v>24</v>
      </c>
      <c r="D7" s="1">
        <v>6</v>
      </c>
      <c r="F7" s="1">
        <f>_xlfn.XLOOKUP(A7,[1]productos_para_tienda!$B:$B,[1]productos_para_tienda!$J:$J,"",0)</f>
        <v>4.5</v>
      </c>
      <c r="H7">
        <f>_xlfn.XLOOKUP(A7,[1]productos_para_tienda!$B:$B,[1]productos_para_tienda!$V:$V,"",0)</f>
        <v>7468</v>
      </c>
    </row>
    <row r="8" spans="1:8" x14ac:dyDescent="0.25">
      <c r="A8" t="s">
        <v>15</v>
      </c>
      <c r="B8" t="s">
        <v>16</v>
      </c>
      <c r="C8">
        <v>24</v>
      </c>
      <c r="D8" s="1">
        <v>10.82666666666667</v>
      </c>
      <c r="F8" s="1">
        <f>_xlfn.XLOOKUP(A8,[1]productos_para_tienda!$B:$B,[1]productos_para_tienda!$J:$J,"",0)</f>
        <v>8.1199999999999992</v>
      </c>
      <c r="H8">
        <f>_xlfn.XLOOKUP(A8,[1]productos_para_tienda!$B:$B,[1]productos_para_tienda!$V:$V,"",0)</f>
        <v>173</v>
      </c>
    </row>
    <row r="9" spans="1:8" x14ac:dyDescent="0.25">
      <c r="A9" t="s">
        <v>17</v>
      </c>
      <c r="B9" t="s">
        <v>18</v>
      </c>
      <c r="C9">
        <v>24</v>
      </c>
      <c r="D9" s="1">
        <v>9.3333333333333339</v>
      </c>
      <c r="F9" s="1">
        <f>_xlfn.XLOOKUP(A9,[1]productos_para_tienda!$B:$B,[1]productos_para_tienda!$J:$J,"",0)</f>
        <v>7</v>
      </c>
      <c r="H9">
        <f>_xlfn.XLOOKUP(A9,[1]productos_para_tienda!$B:$B,[1]productos_para_tienda!$V:$V,"",0)</f>
        <v>1383</v>
      </c>
    </row>
    <row r="10" spans="1:8" x14ac:dyDescent="0.25">
      <c r="A10" t="s">
        <v>19</v>
      </c>
      <c r="B10" t="s">
        <v>20</v>
      </c>
      <c r="C10">
        <v>3</v>
      </c>
      <c r="D10" s="1">
        <v>92.458823529411774</v>
      </c>
      <c r="F10" s="1">
        <v>78.59</v>
      </c>
      <c r="H10">
        <v>10</v>
      </c>
    </row>
    <row r="11" spans="1:8" x14ac:dyDescent="0.25">
      <c r="A11" t="s">
        <v>21</v>
      </c>
      <c r="B11" t="s">
        <v>22</v>
      </c>
      <c r="C11">
        <v>6</v>
      </c>
      <c r="D11" s="1">
        <v>36.733333333333327</v>
      </c>
      <c r="F11" s="1">
        <v>27.55</v>
      </c>
      <c r="H11">
        <v>151</v>
      </c>
    </row>
    <row r="12" spans="1:8" x14ac:dyDescent="0.25">
      <c r="A12" t="s">
        <v>23</v>
      </c>
      <c r="B12" t="s">
        <v>24</v>
      </c>
      <c r="C12">
        <v>4</v>
      </c>
      <c r="D12" s="1">
        <v>93.482352941176458</v>
      </c>
      <c r="F12" s="1">
        <f>_xlfn.XLOOKUP(A12,[1]productos_para_tienda!$B:$B,[1]productos_para_tienda!$J:$J,"",0)</f>
        <v>79.459999999999994</v>
      </c>
      <c r="H12">
        <f>_xlfn.XLOOKUP(A12,[1]productos_para_tienda!$B:$B,[1]productos_para_tienda!$V:$V,"",0)</f>
        <v>3</v>
      </c>
    </row>
    <row r="13" spans="1:8" x14ac:dyDescent="0.25">
      <c r="A13" t="s">
        <v>25</v>
      </c>
      <c r="B13" t="s">
        <v>26</v>
      </c>
      <c r="C13">
        <v>4</v>
      </c>
      <c r="D13" s="1">
        <v>140.16666666666671</v>
      </c>
      <c r="F13" s="1">
        <f>_xlfn.XLOOKUP(A13,[1]productos_para_tienda!$B:$B,[1]productos_para_tienda!$J:$J,"",0)</f>
        <v>126.15</v>
      </c>
      <c r="H13">
        <f>_xlfn.XLOOKUP(A13,[1]productos_para_tienda!$B:$B,[1]productos_para_tienda!$V:$V,"",0)</f>
        <v>9</v>
      </c>
    </row>
    <row r="14" spans="1:8" x14ac:dyDescent="0.25">
      <c r="A14" t="s">
        <v>27</v>
      </c>
      <c r="B14" t="s">
        <v>28</v>
      </c>
      <c r="C14">
        <v>4</v>
      </c>
      <c r="D14" s="1">
        <v>58.362499999999997</v>
      </c>
      <c r="F14" s="1" t="str">
        <f>_xlfn.XLOOKUP(A14,[1]productos_para_tienda!$B:$B,[1]productos_para_tienda!$J:$J,"",0)</f>
        <v/>
      </c>
      <c r="H14" t="str">
        <f>_xlfn.XLOOKUP(A14,[1]productos_para_tienda!$B:$B,[1]productos_para_tienda!$V:$V,"",0)</f>
        <v/>
      </c>
    </row>
    <row r="15" spans="1:8" x14ac:dyDescent="0.25">
      <c r="A15" t="s">
        <v>29</v>
      </c>
      <c r="B15" t="s">
        <v>30</v>
      </c>
      <c r="C15">
        <v>4</v>
      </c>
      <c r="D15" s="1">
        <v>188.17777777777781</v>
      </c>
      <c r="F15" s="1" t="str">
        <f>_xlfn.XLOOKUP(A15,[1]productos_para_tienda!$B:$B,[1]productos_para_tienda!$J:$J,"",0)</f>
        <v/>
      </c>
      <c r="H15" t="str">
        <f>_xlfn.XLOOKUP(A15,[1]productos_para_tienda!$B:$B,[1]productos_para_tienda!$V:$V,"",0)</f>
        <v/>
      </c>
    </row>
    <row r="16" spans="1:8" x14ac:dyDescent="0.25">
      <c r="A16" t="s">
        <v>31</v>
      </c>
      <c r="B16" t="s">
        <v>32</v>
      </c>
      <c r="C16">
        <v>10</v>
      </c>
      <c r="D16" s="1">
        <v>28.61333333333333</v>
      </c>
      <c r="F16" s="1">
        <f>_xlfn.XLOOKUP(A16,[1]productos_para_tienda!$B:$B,[1]productos_para_tienda!$J:$J,"",0)</f>
        <v>21.46</v>
      </c>
      <c r="H16">
        <f>_xlfn.XLOOKUP(A16,[1]productos_para_tienda!$B:$B,[1]productos_para_tienda!$V:$V,"",0)</f>
        <v>53</v>
      </c>
    </row>
    <row r="17" spans="1:8" x14ac:dyDescent="0.25">
      <c r="A17" t="s">
        <v>33</v>
      </c>
      <c r="B17" t="s">
        <v>34</v>
      </c>
      <c r="C17">
        <v>48</v>
      </c>
      <c r="D17" s="1">
        <v>6.666666666666667</v>
      </c>
      <c r="F17" s="1">
        <f>_xlfn.XLOOKUP(A17,[1]productos_para_tienda!$B:$B,[1]productos_para_tienda!$J:$J,"",0)</f>
        <v>5</v>
      </c>
      <c r="H17">
        <f>_xlfn.XLOOKUP(A17,[1]productos_para_tienda!$B:$B,[1]productos_para_tienda!$V:$V,"",0)</f>
        <v>1257</v>
      </c>
    </row>
    <row r="18" spans="1:8" x14ac:dyDescent="0.25">
      <c r="A18" t="s">
        <v>35</v>
      </c>
      <c r="B18" t="s">
        <v>36</v>
      </c>
      <c r="C18">
        <v>48</v>
      </c>
      <c r="D18" s="1">
        <v>6.666666666666667</v>
      </c>
      <c r="F18" s="1" t="str">
        <f>_xlfn.XLOOKUP(A18,[1]productos_para_tienda!$B:$B,[1]productos_para_tienda!$J:$J,"",0)</f>
        <v/>
      </c>
      <c r="H18" t="str">
        <f>_xlfn.XLOOKUP(A18,[1]productos_para_tienda!$B:$B,[1]productos_para_tienda!$V:$V,"",0)</f>
        <v/>
      </c>
    </row>
    <row r="19" spans="1:8" x14ac:dyDescent="0.25">
      <c r="A19" t="s">
        <v>37</v>
      </c>
      <c r="B19" t="s">
        <v>38</v>
      </c>
      <c r="C19">
        <v>9</v>
      </c>
      <c r="D19" s="1">
        <v>18.946666666666669</v>
      </c>
      <c r="F19" s="1">
        <f>_xlfn.XLOOKUP(A19,[1]productos_para_tienda!$B:$B,[1]productos_para_tienda!$J:$J,"",0)</f>
        <v>14.21</v>
      </c>
      <c r="H19">
        <f>_xlfn.XLOOKUP(A19,[1]productos_para_tienda!$B:$B,[1]productos_para_tienda!$V:$V,"",0)</f>
        <v>358</v>
      </c>
    </row>
    <row r="20" spans="1:8" x14ac:dyDescent="0.25">
      <c r="A20" t="s">
        <v>39</v>
      </c>
      <c r="B20" t="s">
        <v>40</v>
      </c>
      <c r="C20">
        <v>4</v>
      </c>
      <c r="D20" s="1">
        <v>55.293333333333329</v>
      </c>
      <c r="F20" s="1">
        <f>_xlfn.XLOOKUP(A20,[1]productos_para_tienda!$B:$B,[1]productos_para_tienda!$J:$J,"",0)</f>
        <v>41.47</v>
      </c>
      <c r="H20">
        <f>_xlfn.XLOOKUP(A20,[1]productos_para_tienda!$B:$B,[1]productos_para_tienda!$V:$V,"",0)</f>
        <v>13</v>
      </c>
    </row>
    <row r="21" spans="1:8" x14ac:dyDescent="0.25">
      <c r="A21" t="s">
        <v>41</v>
      </c>
      <c r="B21" t="s">
        <v>42</v>
      </c>
      <c r="C21">
        <v>4</v>
      </c>
      <c r="D21" s="1">
        <v>151.44444444444451</v>
      </c>
      <c r="F21" s="1">
        <f>_xlfn.XLOOKUP(A21,[1]productos_para_tienda!$B:$B,[1]productos_para_tienda!$J:$J,"",0)</f>
        <v>136.30000000000001</v>
      </c>
      <c r="H21">
        <f>_xlfn.XLOOKUP(A21,[1]productos_para_tienda!$B:$B,[1]productos_para_tienda!$V:$V,"",0)</f>
        <v>0</v>
      </c>
    </row>
    <row r="22" spans="1:8" x14ac:dyDescent="0.25">
      <c r="A22" t="s">
        <v>43</v>
      </c>
      <c r="B22" t="s">
        <v>44</v>
      </c>
      <c r="C22">
        <v>5</v>
      </c>
      <c r="D22" s="1">
        <v>20.493333333333329</v>
      </c>
      <c r="F22" s="1">
        <f>_xlfn.XLOOKUP(A22,[1]productos_para_tienda!$B:$B,[1]productos_para_tienda!$J:$J,"",0)</f>
        <v>15.37</v>
      </c>
      <c r="H22">
        <f>_xlfn.XLOOKUP(A22,[1]productos_para_tienda!$B:$B,[1]productos_para_tienda!$V:$V,"",0)</f>
        <v>36</v>
      </c>
    </row>
    <row r="23" spans="1:8" x14ac:dyDescent="0.25">
      <c r="A23" t="s">
        <v>45</v>
      </c>
      <c r="B23" t="s">
        <v>46</v>
      </c>
      <c r="C23">
        <v>10</v>
      </c>
      <c r="D23" s="1">
        <v>62.375</v>
      </c>
      <c r="F23" s="1">
        <f>_xlfn.XLOOKUP(A23,[1]productos_para_tienda!$B:$B,[1]productos_para_tienda!$J:$J,"",0)</f>
        <v>49.9</v>
      </c>
      <c r="H23">
        <f>_xlfn.XLOOKUP(A23,[1]productos_para_tienda!$B:$B,[1]productos_para_tienda!$V:$V,"",0)</f>
        <v>88</v>
      </c>
    </row>
    <row r="24" spans="1:8" x14ac:dyDescent="0.25">
      <c r="A24" t="s">
        <v>47</v>
      </c>
      <c r="B24" t="s">
        <v>48</v>
      </c>
      <c r="C24">
        <v>10</v>
      </c>
      <c r="D24" s="1">
        <v>62.375</v>
      </c>
      <c r="F24" s="1">
        <f>_xlfn.XLOOKUP(A24,[1]productos_para_tienda!$B:$B,[1]productos_para_tienda!$J:$J,"",0)</f>
        <v>49.9</v>
      </c>
      <c r="H24">
        <f>_xlfn.XLOOKUP(A24,[1]productos_para_tienda!$B:$B,[1]productos_para_tienda!$V:$V,"",0)</f>
        <v>98</v>
      </c>
    </row>
    <row r="25" spans="1:8" x14ac:dyDescent="0.25">
      <c r="A25" t="s">
        <v>49</v>
      </c>
      <c r="B25" t="s">
        <v>50</v>
      </c>
      <c r="C25">
        <v>5</v>
      </c>
      <c r="D25" s="1">
        <v>25.90666666666667</v>
      </c>
      <c r="F25" s="1">
        <f>_xlfn.XLOOKUP(A25,[1]productos_para_tienda!$B:$B,[1]productos_para_tienda!$J:$J,"",0)</f>
        <v>19.43</v>
      </c>
      <c r="H25">
        <f>_xlfn.XLOOKUP(A25,[1]productos_para_tienda!$B:$B,[1]productos_para_tienda!$V:$V,"",0)</f>
        <v>115</v>
      </c>
    </row>
    <row r="26" spans="1:8" x14ac:dyDescent="0.25">
      <c r="A26" t="s">
        <v>51</v>
      </c>
      <c r="B26" t="s">
        <v>52</v>
      </c>
      <c r="C26">
        <v>5</v>
      </c>
      <c r="D26" s="1">
        <v>98.258823529411757</v>
      </c>
      <c r="F26" s="1">
        <f>_xlfn.XLOOKUP(A26,[1]productos_para_tienda!$B:$B,[1]productos_para_tienda!$J:$J,"",0)</f>
        <v>83.52</v>
      </c>
      <c r="H26">
        <f>_xlfn.XLOOKUP(A26,[1]productos_para_tienda!$B:$B,[1]productos_para_tienda!$V:$V,"",0)</f>
        <v>39</v>
      </c>
    </row>
    <row r="27" spans="1:8" x14ac:dyDescent="0.25">
      <c r="A27" t="s">
        <v>53</v>
      </c>
      <c r="B27" t="s">
        <v>54</v>
      </c>
      <c r="C27">
        <v>5</v>
      </c>
      <c r="D27" s="1">
        <v>75.037500000000009</v>
      </c>
      <c r="F27" s="1">
        <f>_xlfn.XLOOKUP(A27,[1]productos_para_tienda!$B:$B,[1]productos_para_tienda!$J:$J,"",0)</f>
        <v>60.03</v>
      </c>
      <c r="H27">
        <f>_xlfn.XLOOKUP(A27,[1]productos_para_tienda!$B:$B,[1]productos_para_tienda!$V:$V,"",0)</f>
        <v>74</v>
      </c>
    </row>
    <row r="28" spans="1:8" x14ac:dyDescent="0.25">
      <c r="A28" t="s">
        <v>55</v>
      </c>
      <c r="B28" t="s">
        <v>56</v>
      </c>
      <c r="C28">
        <v>10</v>
      </c>
      <c r="D28" s="1">
        <v>14</v>
      </c>
      <c r="F28" s="1">
        <f>_xlfn.XLOOKUP(A28,[1]productos_para_tienda!$B:$B,[1]productos_para_tienda!$J:$J,"",0)</f>
        <v>10.5</v>
      </c>
      <c r="H28">
        <f>_xlfn.XLOOKUP(A28,[1]productos_para_tienda!$B:$B,[1]productos_para_tienda!$V:$V,"",0)</f>
        <v>321</v>
      </c>
    </row>
    <row r="29" spans="1:8" x14ac:dyDescent="0.25">
      <c r="A29" t="s">
        <v>57</v>
      </c>
      <c r="B29" t="s">
        <v>58</v>
      </c>
      <c r="C29">
        <v>5</v>
      </c>
      <c r="D29" s="1">
        <v>57.226666666666667</v>
      </c>
      <c r="F29" s="1">
        <f>_xlfn.XLOOKUP(A29,[1]productos_para_tienda!$B:$B,[1]productos_para_tienda!$J:$J,"",0)</f>
        <v>42.92</v>
      </c>
      <c r="H29">
        <f>_xlfn.XLOOKUP(A29,[1]productos_para_tienda!$B:$B,[1]productos_para_tienda!$V:$V,"",0)</f>
        <v>48</v>
      </c>
    </row>
    <row r="30" spans="1:8" x14ac:dyDescent="0.25">
      <c r="A30" t="s">
        <v>59</v>
      </c>
      <c r="B30" t="s">
        <v>60</v>
      </c>
      <c r="C30">
        <v>0</v>
      </c>
      <c r="D30" s="1">
        <v>44.080000000000013</v>
      </c>
      <c r="F30" s="1">
        <f>_xlfn.XLOOKUP(A30,[1]productos_para_tienda!$B:$B,[1]productos_para_tienda!$J:$J,"",0)</f>
        <v>33.06</v>
      </c>
      <c r="H30">
        <f>_xlfn.XLOOKUP(A30,[1]productos_para_tienda!$B:$B,[1]productos_para_tienda!$V:$V,"",0)</f>
        <v>0</v>
      </c>
    </row>
    <row r="31" spans="1:8" x14ac:dyDescent="0.25">
      <c r="A31" t="s">
        <v>61</v>
      </c>
      <c r="B31" t="s">
        <v>62</v>
      </c>
      <c r="C31">
        <v>40</v>
      </c>
      <c r="D31" s="1">
        <v>7.3466666666666667</v>
      </c>
      <c r="F31" s="1">
        <f>_xlfn.XLOOKUP(A31,[1]productos_para_tienda!$B:$B,[1]productos_para_tienda!$J:$J,"",0)</f>
        <v>5.51</v>
      </c>
      <c r="H31">
        <f>_xlfn.XLOOKUP(A31,[1]productos_para_tienda!$B:$B,[1]productos_para_tienda!$V:$V,"",0)</f>
        <v>2514</v>
      </c>
    </row>
    <row r="32" spans="1:8" x14ac:dyDescent="0.25">
      <c r="A32" t="s">
        <v>63</v>
      </c>
      <c r="B32" t="s">
        <v>64</v>
      </c>
      <c r="C32">
        <v>40</v>
      </c>
      <c r="D32" s="1">
        <v>7.3466666666666667</v>
      </c>
      <c r="F32" s="1">
        <f>_xlfn.XLOOKUP(A32,[1]productos_para_tienda!$B:$B,[1]productos_para_tienda!$J:$J,"",0)</f>
        <v>5.51</v>
      </c>
      <c r="H32">
        <f>_xlfn.XLOOKUP(A32,[1]productos_para_tienda!$B:$B,[1]productos_para_tienda!$V:$V,"",0)</f>
        <v>1483</v>
      </c>
    </row>
    <row r="33" spans="1:8" x14ac:dyDescent="0.25">
      <c r="A33" t="s">
        <v>65</v>
      </c>
      <c r="B33" t="s">
        <v>66</v>
      </c>
      <c r="C33">
        <v>200</v>
      </c>
      <c r="D33" s="1">
        <v>2.5</v>
      </c>
      <c r="F33" s="1">
        <f>_xlfn.XLOOKUP(A33,[1]productos_para_tienda!$B:$B,[1]productos_para_tienda!$J:$J,"",0)</f>
        <v>1.5</v>
      </c>
      <c r="H33">
        <f>_xlfn.XLOOKUP(A33,[1]productos_para_tienda!$B:$B,[1]productos_para_tienda!$V:$V,"",0)</f>
        <v>0</v>
      </c>
    </row>
    <row r="34" spans="1:8" x14ac:dyDescent="0.25">
      <c r="A34" t="s">
        <v>67</v>
      </c>
      <c r="B34" t="s">
        <v>68</v>
      </c>
      <c r="C34">
        <v>0</v>
      </c>
      <c r="D34" s="1">
        <v>2.5</v>
      </c>
      <c r="F34" s="1">
        <f>_xlfn.XLOOKUP(A34,[1]productos_para_tienda!$B:$B,[1]productos_para_tienda!$J:$J,"",0)</f>
        <v>1.5</v>
      </c>
      <c r="H34">
        <f>_xlfn.XLOOKUP(A34,[1]productos_para_tienda!$B:$B,[1]productos_para_tienda!$V:$V,"",0)</f>
        <v>0</v>
      </c>
    </row>
    <row r="35" spans="1:8" x14ac:dyDescent="0.25">
      <c r="A35" t="s">
        <v>69</v>
      </c>
      <c r="B35" t="s">
        <v>70</v>
      </c>
      <c r="C35">
        <v>5</v>
      </c>
      <c r="D35" s="1">
        <v>75</v>
      </c>
      <c r="F35" s="1">
        <f>_xlfn.XLOOKUP(A35,[1]productos_para_tienda!$B:$B,[1]productos_para_tienda!$J:$J,"",0)</f>
        <v>60</v>
      </c>
      <c r="H35">
        <f>_xlfn.XLOOKUP(A35,[1]productos_para_tienda!$B:$B,[1]productos_para_tienda!$V:$V,"",0)</f>
        <v>65</v>
      </c>
    </row>
    <row r="36" spans="1:8" x14ac:dyDescent="0.25">
      <c r="A36" t="s">
        <v>71</v>
      </c>
      <c r="B36" t="s">
        <v>72</v>
      </c>
      <c r="C36">
        <v>12</v>
      </c>
      <c r="D36" s="1">
        <v>46.013333333333328</v>
      </c>
      <c r="F36" s="1">
        <f>_xlfn.XLOOKUP(A36,[1]productos_para_tienda!$B:$B,[1]productos_para_tienda!$J:$J,"",0)</f>
        <v>34.51</v>
      </c>
      <c r="H36">
        <f>_xlfn.XLOOKUP(A36,[1]productos_para_tienda!$B:$B,[1]productos_para_tienda!$V:$V,"",0)</f>
        <v>12</v>
      </c>
    </row>
    <row r="37" spans="1:8" x14ac:dyDescent="0.25">
      <c r="A37" t="s">
        <v>73</v>
      </c>
      <c r="B37" t="s">
        <v>74</v>
      </c>
      <c r="C37">
        <v>3</v>
      </c>
      <c r="D37" s="1">
        <v>70.6875</v>
      </c>
      <c r="F37" s="1">
        <f>_xlfn.XLOOKUP(A37,[1]productos_para_tienda!$B:$B,[1]productos_para_tienda!$J:$J,"",0)</f>
        <v>56.55</v>
      </c>
      <c r="H37">
        <f>_xlfn.XLOOKUP(A37,[1]productos_para_tienda!$B:$B,[1]productos_para_tienda!$V:$V,"",0)</f>
        <v>7</v>
      </c>
    </row>
    <row r="38" spans="1:8" x14ac:dyDescent="0.25">
      <c r="A38" t="s">
        <v>75</v>
      </c>
      <c r="B38" t="s">
        <v>76</v>
      </c>
      <c r="C38">
        <v>3</v>
      </c>
      <c r="D38" s="1">
        <v>66.529411764705884</v>
      </c>
      <c r="F38" s="1">
        <f>_xlfn.XLOOKUP(A38,[1]productos_para_tienda!$B:$B,[1]productos_para_tienda!$J:$J,"",0)</f>
        <v>56.55</v>
      </c>
      <c r="H38">
        <f>_xlfn.XLOOKUP(A38,[1]productos_para_tienda!$B:$B,[1]productos_para_tienda!$V:$V,"",0)</f>
        <v>10</v>
      </c>
    </row>
    <row r="39" spans="1:8" x14ac:dyDescent="0.25">
      <c r="A39" t="s">
        <v>77</v>
      </c>
      <c r="B39" t="s">
        <v>78</v>
      </c>
      <c r="C39">
        <v>3</v>
      </c>
      <c r="D39" s="1">
        <v>65.612499999999997</v>
      </c>
      <c r="F39" s="1" t="str">
        <f>_xlfn.XLOOKUP(A39,[1]productos_para_tienda!$B:$B,[1]productos_para_tienda!$J:$J,"",0)</f>
        <v/>
      </c>
      <c r="H39" t="str">
        <f>_xlfn.XLOOKUP(A39,[1]productos_para_tienda!$B:$B,[1]productos_para_tienda!$V:$V,"",0)</f>
        <v/>
      </c>
    </row>
    <row r="40" spans="1:8" x14ac:dyDescent="0.25">
      <c r="A40" t="s">
        <v>79</v>
      </c>
      <c r="B40" t="s">
        <v>80</v>
      </c>
      <c r="C40">
        <v>4</v>
      </c>
      <c r="D40" s="1">
        <v>20.106666666666669</v>
      </c>
      <c r="F40" s="1">
        <f>_xlfn.XLOOKUP(A40,[1]productos_para_tienda!$B:$B,[1]productos_para_tienda!$J:$J,"",0)</f>
        <v>15.08</v>
      </c>
      <c r="H40">
        <f>_xlfn.XLOOKUP(A40,[1]productos_para_tienda!$B:$B,[1]productos_para_tienda!$V:$V,"",0)</f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Hernandez</cp:lastModifiedBy>
  <dcterms:created xsi:type="dcterms:W3CDTF">2026-10-05T18:28:50Z</dcterms:created>
  <dcterms:modified xsi:type="dcterms:W3CDTF">2026-10-09T18:28:50Z</dcterms:modified>
</cp:coreProperties>
</file>